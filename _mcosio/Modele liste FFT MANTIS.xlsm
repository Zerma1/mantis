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20" windowWidth="7545" windowHeight="4710" tabRatio="606" activeTab="3"/>
  </bookViews>
  <sheets>
    <sheet name="params" sheetId="6" r:id="rId1"/>
    <sheet name="FFT" sheetId="1" r:id="rId2"/>
    <sheet name="Temp" sheetId="3" state="hidden" r:id="rId3"/>
    <sheet name="projet" sheetId="5" r:id="rId4"/>
  </sheets>
  <definedNames>
    <definedName name="_xlnm._FilterDatabase" localSheetId="1" hidden="1">FFT!$A$4:$N$5</definedName>
    <definedName name="_xlnm.Print_Titles" localSheetId="1">FFT!$1:$4</definedName>
  </definedNames>
  <calcPr calcId="145621"/>
</workbook>
</file>

<file path=xl/calcChain.xml><?xml version="1.0" encoding="utf-8"?>
<calcChain xmlns="http://schemas.openxmlformats.org/spreadsheetml/2006/main">
  <c r="B1" i="6" l="1"/>
  <c r="B12" i="6"/>
  <c r="C12" i="6"/>
  <c r="C11" i="6"/>
  <c r="B11" i="6"/>
  <c r="B7" i="6"/>
  <c r="C7" i="6"/>
  <c r="C6" i="6"/>
  <c r="B6" i="6"/>
  <c r="D5" i="1" l="1"/>
  <c r="H1" i="1" l="1"/>
  <c r="H5" i="1" l="1"/>
  <c r="G5" i="1"/>
  <c r="K5" i="1"/>
  <c r="J5" i="1"/>
  <c r="N5" i="1"/>
  <c r="L5" i="1"/>
  <c r="E5" i="1"/>
  <c r="I5" i="1"/>
  <c r="F5" i="1"/>
  <c r="C5" i="1"/>
  <c r="B5" i="1"/>
  <c r="A5" i="1"/>
  <c r="D1" i="1" l="1"/>
  <c r="E1" i="1"/>
</calcChain>
</file>

<file path=xl/sharedStrings.xml><?xml version="1.0" encoding="utf-8"?>
<sst xmlns="http://schemas.openxmlformats.org/spreadsheetml/2006/main" count="455" uniqueCount="71">
  <si>
    <t>DESCRIPTION DE L'ANOMALIE</t>
  </si>
  <si>
    <t>Statut</t>
  </si>
  <si>
    <t>Date de livraison de la version corrigée</t>
  </si>
  <si>
    <t>Diagnostic</t>
  </si>
  <si>
    <t>Qualification</t>
  </si>
  <si>
    <t/>
  </si>
  <si>
    <t>StatutCriticité de l'anomalie</t>
  </si>
  <si>
    <t>A statuerMajeure</t>
  </si>
  <si>
    <t>Non résolueMineure</t>
  </si>
  <si>
    <t>StatutQualification</t>
  </si>
  <si>
    <t>Non résolueNon renseignée</t>
  </si>
  <si>
    <t>VérifiéeMajeure</t>
  </si>
  <si>
    <t>VérifiéeNon renseignée</t>
  </si>
  <si>
    <t>FerméeMajeure</t>
  </si>
  <si>
    <t>FerméeInformations</t>
  </si>
  <si>
    <t>En cours traitementMajeure</t>
  </si>
  <si>
    <t>En cours traitementNon renseignée</t>
  </si>
  <si>
    <t>A statuerNon renseignée</t>
  </si>
  <si>
    <t>RésolueBloquante</t>
  </si>
  <si>
    <t>RésolueNon renseignée</t>
  </si>
  <si>
    <t>En cours traitementBloquante</t>
  </si>
  <si>
    <t>FerméeEvolutions</t>
  </si>
  <si>
    <t>FerméeNon renseignée</t>
  </si>
  <si>
    <t>En cours traitementEvolutions</t>
  </si>
  <si>
    <t>Non résolueEvolutions</t>
  </si>
  <si>
    <t>VérifiéeBloquante</t>
  </si>
  <si>
    <t>VérifiéeInformations</t>
  </si>
  <si>
    <t>En cours traitementMineure</t>
  </si>
  <si>
    <t>VérifiéeMineure</t>
  </si>
  <si>
    <t>FerméeBloquante</t>
  </si>
  <si>
    <t>FerméeMineure</t>
  </si>
  <si>
    <t>Non résolueMajeure</t>
  </si>
  <si>
    <t>Non résolueBloquante</t>
  </si>
  <si>
    <t>VérifiéeEvolutions</t>
  </si>
  <si>
    <t>Non résolueInformations</t>
  </si>
  <si>
    <t>A statuerBloquante</t>
  </si>
  <si>
    <t>Priorité</t>
  </si>
  <si>
    <t>Résumé</t>
  </si>
  <si>
    <t>Description</t>
  </si>
  <si>
    <t>Reproductibilité</t>
  </si>
  <si>
    <t>interne (Marsup)</t>
  </si>
  <si>
    <t>qualifiée</t>
  </si>
  <si>
    <t>analysée</t>
  </si>
  <si>
    <t>Réf</t>
  </si>
  <si>
    <t>clôturée</t>
  </si>
  <si>
    <t>Date MAJ</t>
  </si>
  <si>
    <t>Date création</t>
  </si>
  <si>
    <t>ETAT DE LA FFT (Fiche de Fait Technique)</t>
  </si>
  <si>
    <t>DESCRIPTION</t>
  </si>
  <si>
    <t>CORRECTION PREVUE</t>
  </si>
  <si>
    <t>Criticité</t>
  </si>
  <si>
    <t>ANOMALIE</t>
  </si>
  <si>
    <t>EVOLUTION</t>
  </si>
  <si>
    <t>Version attendue</t>
  </si>
  <si>
    <t>Extrait du bug tracker 
du CEPN le :</t>
  </si>
  <si>
    <t>Satanas</t>
  </si>
  <si>
    <t>validée</t>
  </si>
  <si>
    <t>traitée</t>
  </si>
  <si>
    <t>Attente specifications complémentaires du CEPN</t>
  </si>
  <si>
    <t>Attente correction TCS</t>
  </si>
  <si>
    <t>A tester par le CEPN</t>
  </si>
  <si>
    <t>en attente spec</t>
  </si>
  <si>
    <t>à développer</t>
  </si>
  <si>
    <t>à tester par le CEPN</t>
  </si>
  <si>
    <t>Projet chargé :</t>
  </si>
  <si>
    <t>Matrice des états :</t>
  </si>
  <si>
    <t>saisie</t>
  </si>
  <si>
    <t>prise en charge</t>
  </si>
  <si>
    <t xml:space="preserve">Version </t>
  </si>
  <si>
    <t>Excel Mantis 
v1.3
21/02/2014</t>
  </si>
  <si>
    <t>cliquez sur la case à gauche de la colonne A, et coller l'extraction réalisée depuis Mantis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</si>
</sst>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</font>
    <font>
      <b/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2"/>
      <color rgb="FF000000"/>
      <name val="Arial"/>
      <family val="2"/>
    </font>
    <font>
      <b/>
      <sz val="14"/>
      <color rgb="FFFF0000"/>
      <name val="Arial"/>
      <family val="2"/>
    </font>
    <font>
      <b/>
      <u/>
      <sz val="18"/>
      <color rgb="FFFF0000"/>
      <name val="Arial"/>
      <family val="2"/>
    </font>
    <font>
      <sz val="14"/>
      <name val="Arial"/>
      <family val="2"/>
    </font>
    <font>
      <sz val="10"/>
      <color theme="0" tint="-0.499984740745262"/>
      <name val="Arial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4" fillId="0" borderId="8" applyNumberFormat="0" applyFill="0" applyAlignment="0" applyProtection="0"/>
  </cellStyleXfs>
  <cellXfs count="54">
    <xf numFmtId="0" fontId="0" fillId="0" borderId="0" xfId="0"/>
    <xf numFmtId="49" fontId="0" fillId="0" borderId="0" xfId="0" applyNumberFormat="1"/>
    <xf numFmtId="0" fontId="0" fillId="0" borderId="0" xfId="0" applyNumberFormat="1"/>
    <xf numFmtId="0" fontId="3" fillId="3" borderId="0" xfId="0" applyNumberFormat="1" applyFont="1" applyFill="1" applyAlignment="1" applyProtection="1">
      <alignment horizontal="center" vertical="center" wrapText="1"/>
    </xf>
    <xf numFmtId="0" fontId="3" fillId="3" borderId="0" xfId="0" applyNumberFormat="1" applyFont="1" applyFill="1" applyAlignment="1" applyProtection="1">
      <alignment vertical="center" wrapText="1"/>
    </xf>
    <xf numFmtId="0" fontId="3" fillId="0" borderId="0" xfId="0" applyNumberFormat="1" applyFont="1" applyAlignment="1" applyProtection="1">
      <alignment vertical="center" wrapText="1"/>
    </xf>
    <xf numFmtId="0" fontId="4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vertical="center" wrapText="1"/>
    </xf>
    <xf numFmtId="0" fontId="3" fillId="0" borderId="0" xfId="0" applyNumberFormat="1" applyFont="1" applyAlignment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0" fontId="4" fillId="3" borderId="0" xfId="0" applyNumberFormat="1" applyFont="1" applyFill="1" applyAlignment="1">
      <alignment horizontal="center" vertical="center" wrapText="1"/>
    </xf>
    <xf numFmtId="49" fontId="3" fillId="0" borderId="0" xfId="0" applyNumberFormat="1" applyFont="1" applyAlignment="1" applyProtection="1">
      <alignment vertical="center" wrapText="1"/>
    </xf>
    <xf numFmtId="0" fontId="6" fillId="0" borderId="0" xfId="0" applyNumberFormat="1" applyFont="1" applyAlignment="1">
      <alignment horizontal="center" vertical="center" wrapText="1"/>
    </xf>
    <xf numFmtId="0" fontId="6" fillId="3" borderId="0" xfId="0" applyNumberFormat="1" applyFont="1" applyFill="1" applyAlignment="1" applyProtection="1">
      <alignment horizontal="center" vertical="center" wrapText="1"/>
    </xf>
    <xf numFmtId="0" fontId="6" fillId="3" borderId="0" xfId="0" applyNumberFormat="1" applyFont="1" applyFill="1" applyAlignment="1" applyProtection="1">
      <alignment vertical="center" wrapText="1"/>
    </xf>
    <xf numFmtId="0" fontId="6" fillId="0" borderId="0" xfId="0" applyNumberFormat="1" applyFont="1" applyAlignment="1">
      <alignment vertical="center" wrapText="1"/>
    </xf>
    <xf numFmtId="0" fontId="7" fillId="4" borderId="0" xfId="0" applyNumberFormat="1" applyFont="1" applyFill="1" applyAlignment="1">
      <alignment horizontal="left" vertical="center" wrapText="1"/>
    </xf>
    <xf numFmtId="0" fontId="3" fillId="6" borderId="1" xfId="0" applyNumberFormat="1" applyFont="1" applyFill="1" applyBorder="1" applyAlignment="1">
      <alignment horizontal="center" vertical="center" wrapText="1"/>
    </xf>
    <xf numFmtId="0" fontId="3" fillId="5" borderId="1" xfId="0" applyNumberFormat="1" applyFont="1" applyFill="1" applyBorder="1" applyAlignment="1">
      <alignment horizontal="center" vertical="center" wrapText="1"/>
    </xf>
    <xf numFmtId="0" fontId="3" fillId="3" borderId="0" xfId="0" applyNumberFormat="1" applyFont="1" applyFill="1" applyAlignment="1" applyProtection="1">
      <alignment horizontal="right" vertical="center" wrapText="1"/>
    </xf>
    <xf numFmtId="0" fontId="7" fillId="4" borderId="0" xfId="0" applyNumberFormat="1" applyFont="1" applyFill="1" applyAlignment="1">
      <alignment horizontal="right" vertical="center" wrapText="1"/>
    </xf>
    <xf numFmtId="0" fontId="12" fillId="3" borderId="0" xfId="0" applyNumberFormat="1" applyFont="1" applyFill="1" applyAlignment="1" applyProtection="1">
      <alignment horizontal="right" vertical="center" wrapText="1"/>
    </xf>
    <xf numFmtId="0" fontId="11" fillId="0" borderId="0" xfId="0" applyNumberFormat="1" applyFont="1" applyAlignment="1">
      <alignment horizontal="right" vertical="center" wrapText="1"/>
    </xf>
    <xf numFmtId="0" fontId="13" fillId="0" borderId="0" xfId="0" applyFont="1"/>
    <xf numFmtId="0" fontId="0" fillId="8" borderId="0" xfId="0" applyFill="1"/>
    <xf numFmtId="0" fontId="13" fillId="0" borderId="0" xfId="0" applyFont="1" applyFill="1"/>
    <xf numFmtId="0" fontId="0" fillId="0" borderId="0" xfId="0" applyFill="1"/>
    <xf numFmtId="0" fontId="1" fillId="0" borderId="0" xfId="0" applyFont="1" applyFill="1"/>
    <xf numFmtId="0" fontId="14" fillId="0" borderId="8" xfId="1"/>
    <xf numFmtId="0" fontId="1" fillId="9" borderId="0" xfId="0" applyFont="1" applyFill="1"/>
    <xf numFmtId="0" fontId="1" fillId="10" borderId="0" xfId="0" applyFont="1" applyFill="1"/>
    <xf numFmtId="0" fontId="1" fillId="8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7" borderId="0" xfId="0" applyFont="1" applyFill="1"/>
    <xf numFmtId="0" fontId="1" fillId="13" borderId="0" xfId="0" applyFont="1" applyFill="1"/>
    <xf numFmtId="0" fontId="4" fillId="2" borderId="9" xfId="0" applyNumberFormat="1" applyFont="1" applyFill="1" applyBorder="1" applyAlignment="1">
      <alignment horizontal="center" vertical="center" wrapText="1"/>
    </xf>
    <xf numFmtId="0" fontId="2" fillId="2" borderId="9" xfId="0" applyNumberFormat="1" applyFont="1" applyFill="1" applyBorder="1" applyAlignment="1">
      <alignment horizontal="center" vertical="center" wrapText="1"/>
    </xf>
    <xf numFmtId="0" fontId="1" fillId="2" borderId="9" xfId="0" applyNumberFormat="1" applyFont="1" applyFill="1" applyBorder="1" applyAlignment="1">
      <alignment horizontal="center" vertical="center" wrapText="1"/>
    </xf>
    <xf numFmtId="0" fontId="2" fillId="2" borderId="10" xfId="0" applyNumberFormat="1" applyFont="1" applyFill="1" applyBorder="1" applyAlignment="1">
      <alignment horizontal="center" vertical="center" wrapText="1"/>
    </xf>
    <xf numFmtId="14" fontId="9" fillId="3" borderId="0" xfId="0" applyNumberFormat="1" applyFont="1" applyFill="1" applyAlignment="1" applyProtection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4" fillId="0" borderId="5" xfId="0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 wrapText="1"/>
    </xf>
    <xf numFmtId="14" fontId="6" fillId="0" borderId="6" xfId="0" applyNumberFormat="1" applyFont="1" applyFill="1" applyBorder="1" applyAlignment="1">
      <alignment horizontal="center" vertical="center" wrapText="1"/>
    </xf>
    <xf numFmtId="0" fontId="3" fillId="0" borderId="6" xfId="0" applyNumberFormat="1" applyFont="1" applyFill="1" applyBorder="1" applyAlignment="1">
      <alignment horizontal="center" vertical="center" wrapText="1"/>
    </xf>
    <xf numFmtId="0" fontId="3" fillId="0" borderId="6" xfId="0" applyNumberFormat="1" applyFont="1" applyFill="1" applyBorder="1" applyAlignment="1">
      <alignment vertical="center" wrapText="1"/>
    </xf>
    <xf numFmtId="0" fontId="6" fillId="0" borderId="6" xfId="0" applyNumberFormat="1" applyFont="1" applyFill="1" applyBorder="1" applyAlignment="1" applyProtection="1">
      <alignment horizontal="center" vertical="center" wrapText="1"/>
    </xf>
    <xf numFmtId="0" fontId="3" fillId="0" borderId="7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horizontal="center" vertical="center" wrapText="1"/>
    </xf>
    <xf numFmtId="0" fontId="5" fillId="3" borderId="3" xfId="0" applyNumberFormat="1" applyFont="1" applyFill="1" applyBorder="1" applyAlignment="1">
      <alignment horizontal="center" vertical="center" wrapText="1"/>
    </xf>
    <xf numFmtId="0" fontId="5" fillId="3" borderId="4" xfId="0" applyNumberFormat="1" applyFont="1" applyFill="1" applyBorder="1" applyAlignment="1">
      <alignment horizontal="center" vertical="center" wrapText="1"/>
    </xf>
    <xf numFmtId="0" fontId="10" fillId="3" borderId="0" xfId="0" applyNumberFormat="1" applyFont="1" applyFill="1" applyAlignment="1" applyProtection="1">
      <alignment horizontal="center" vertical="center" wrapText="1"/>
    </xf>
  </cellXfs>
  <cellStyles count="2">
    <cellStyle name="Normal" xfId="0" builtinId="0"/>
    <cellStyle name="Titre 2" xfId="1" builtinId="17"/>
  </cellStyles>
  <dxfs count="6">
    <dxf>
      <font>
        <b/>
        <i val="0"/>
      </font>
    </dxf>
    <dxf>
      <font>
        <b val="0"/>
        <i val="0"/>
      </font>
    </dxf>
    <dxf>
      <font>
        <b val="0"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</font>
    </dxf>
  </dxfs>
  <tableStyles count="0" defaultTableStyle="TableStyleMedium9" defaultPivotStyle="PivotStyleLight16"/>
  <colors>
    <mruColors>
      <color rgb="FFFF0000"/>
      <color rgb="FFFFFF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0</xdr:row>
          <xdr:rowOff>47625</xdr:rowOff>
        </xdr:from>
        <xdr:to>
          <xdr:col>13</xdr:col>
          <xdr:colOff>1323975</xdr:colOff>
          <xdr:row>1</xdr:row>
          <xdr:rowOff>123825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 </a:t>
              </a:r>
            </a:p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couleur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137432</xdr:colOff>
      <xdr:row>1</xdr:row>
      <xdr:rowOff>95250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0"/>
          <a:ext cx="981075" cy="857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N35"/>
  <sheetViews>
    <sheetView workbookViewId="0">
      <selection activeCell="B10" sqref="B10"/>
    </sheetView>
  </sheetViews>
  <sheetFormatPr baseColWidth="10" defaultRowHeight="12.75" x14ac:dyDescent="0.2"/>
  <cols>
    <col min="1" max="1" width="24.7109375" bestFit="1" customWidth="1"/>
    <col min="2" max="2" width="42.7109375" bestFit="1" customWidth="1"/>
    <col min="3" max="3" width="18.28515625" bestFit="1" customWidth="1"/>
    <col min="4" max="4" width="43.140625" customWidth="1"/>
  </cols>
  <sheetData>
    <row r="1" spans="1:4" ht="18" thickBot="1" x14ac:dyDescent="0.35">
      <c r="A1" s="28" t="s">
        <v>64</v>
      </c>
      <c r="B1" s="24">
        <f>projet!B2</f>
        <v>0</v>
      </c>
    </row>
    <row r="2" spans="1:4" ht="13.5" thickTop="1" x14ac:dyDescent="0.2"/>
    <row r="3" spans="1:4" x14ac:dyDescent="0.2">
      <c r="D3" s="23"/>
    </row>
    <row r="4" spans="1:4" ht="18" thickBot="1" x14ac:dyDescent="0.35">
      <c r="A4" s="28" t="s">
        <v>65</v>
      </c>
    </row>
    <row r="5" spans="1:4" ht="13.5" thickTop="1" x14ac:dyDescent="0.2">
      <c r="B5" s="27" t="s">
        <v>40</v>
      </c>
      <c r="C5" s="27" t="s">
        <v>55</v>
      </c>
    </row>
    <row r="6" spans="1:4" x14ac:dyDescent="0.2">
      <c r="A6" s="29" t="s">
        <v>66</v>
      </c>
      <c r="B6" s="25" t="str">
        <f>A6</f>
        <v>saisie</v>
      </c>
      <c r="C6" s="25" t="str">
        <f>A6</f>
        <v>saisie</v>
      </c>
    </row>
    <row r="7" spans="1:4" x14ac:dyDescent="0.2">
      <c r="A7" s="35" t="s">
        <v>67</v>
      </c>
      <c r="B7" s="25" t="str">
        <f>A7</f>
        <v>prise en charge</v>
      </c>
      <c r="C7" s="25" t="str">
        <f>A7</f>
        <v>prise en charge</v>
      </c>
    </row>
    <row r="8" spans="1:4" x14ac:dyDescent="0.2">
      <c r="A8" s="30" t="s">
        <v>41</v>
      </c>
      <c r="B8" t="s">
        <v>58</v>
      </c>
      <c r="C8" t="s">
        <v>61</v>
      </c>
    </row>
    <row r="9" spans="1:4" x14ac:dyDescent="0.2">
      <c r="A9" s="31" t="s">
        <v>42</v>
      </c>
      <c r="B9" s="23" t="s">
        <v>59</v>
      </c>
      <c r="C9" t="s">
        <v>62</v>
      </c>
    </row>
    <row r="10" spans="1:4" x14ac:dyDescent="0.2">
      <c r="A10" s="32" t="s">
        <v>57</v>
      </c>
      <c r="B10" t="s">
        <v>60</v>
      </c>
      <c r="C10" t="s">
        <v>63</v>
      </c>
    </row>
    <row r="11" spans="1:4" x14ac:dyDescent="0.2">
      <c r="A11" s="33" t="s">
        <v>56</v>
      </c>
      <c r="B11" s="25" t="str">
        <f>A11</f>
        <v>validée</v>
      </c>
      <c r="C11" s="25" t="str">
        <f>A11</f>
        <v>validée</v>
      </c>
    </row>
    <row r="12" spans="1:4" x14ac:dyDescent="0.2">
      <c r="A12" s="34" t="s">
        <v>44</v>
      </c>
      <c r="B12" s="25" t="str">
        <f>A12</f>
        <v>clôturée</v>
      </c>
      <c r="C12" s="25" t="str">
        <f>A12</f>
        <v>clôturée</v>
      </c>
    </row>
    <row r="21" spans="1:14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</row>
    <row r="22" spans="1:14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1:14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</row>
    <row r="24" spans="1:14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1:14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</row>
    <row r="31" spans="1:14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</row>
    <row r="32" spans="1:14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</row>
    <row r="34" spans="1:14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14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</sheetData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"/>
  <sheetViews>
    <sheetView zoomScale="70" zoomScaleNormal="70" zoomScaleSheetLayoutView="100" workbookViewId="0">
      <selection activeCell="H18" sqref="H18"/>
    </sheetView>
  </sheetViews>
  <sheetFormatPr baseColWidth="10" defaultRowHeight="15.75" x14ac:dyDescent="0.2"/>
  <cols>
    <col min="1" max="1" width="7.7109375" style="6" customWidth="1"/>
    <col min="2" max="2" width="12.7109375" style="15" customWidth="1"/>
    <col min="3" max="3" width="12.85546875" style="12" customWidth="1"/>
    <col min="4" max="4" width="18.5703125" style="8" customWidth="1"/>
    <col min="5" max="5" width="10.28515625" style="12" customWidth="1"/>
    <col min="6" max="6" width="11.85546875" style="8" customWidth="1"/>
    <col min="7" max="7" width="12.28515625" style="8" bestFit="1" customWidth="1"/>
    <col min="8" max="8" width="16.85546875" style="8" customWidth="1"/>
    <col min="9" max="9" width="26.28515625" style="7" customWidth="1"/>
    <col min="10" max="10" width="58.7109375" style="7" customWidth="1"/>
    <col min="11" max="11" width="19.85546875" style="41" customWidth="1"/>
    <col min="12" max="12" width="13.85546875" style="12" bestFit="1" customWidth="1"/>
    <col min="13" max="13" width="14" style="7" bestFit="1" customWidth="1"/>
    <col min="14" max="14" width="58.7109375" style="7" customWidth="1"/>
    <col min="15" max="15" width="11.42578125" style="5"/>
    <col min="16" max="16" width="26.42578125" style="5" customWidth="1"/>
    <col min="17" max="17" width="25.5703125" style="5" customWidth="1"/>
    <col min="18" max="16384" width="11.42578125" style="5"/>
  </cols>
  <sheetData>
    <row r="1" spans="1:14" ht="60" customHeight="1" x14ac:dyDescent="0.2">
      <c r="C1" s="42"/>
      <c r="D1" s="20" t="str">
        <f>"FFT : " &amp; SUBTOTAL(3,(A5:A414)) &amp; " /"</f>
        <v>FFT : 1 /</v>
      </c>
      <c r="E1" s="16">
        <f>COUNT(A5:A414)</f>
        <v>1</v>
      </c>
      <c r="H1" s="53">
        <f>IF(projet!B2="interne (Marsup)","Souche TCS-Marsup",projet!B2)</f>
        <v>0</v>
      </c>
      <c r="I1" s="53"/>
      <c r="J1" s="22" t="s">
        <v>54</v>
      </c>
      <c r="K1" s="40">
        <v>41690</v>
      </c>
      <c r="L1" s="17" t="s">
        <v>51</v>
      </c>
      <c r="M1" s="18" t="s">
        <v>52</v>
      </c>
      <c r="N1" s="21" t="s">
        <v>69</v>
      </c>
    </row>
    <row r="2" spans="1:14" ht="16.5" thickBot="1" x14ac:dyDescent="0.25">
      <c r="A2" s="9"/>
      <c r="B2" s="14"/>
      <c r="C2" s="13"/>
      <c r="D2" s="19"/>
      <c r="E2" s="13"/>
      <c r="F2" s="3"/>
      <c r="G2" s="3"/>
      <c r="H2" s="3"/>
      <c r="I2" s="4"/>
      <c r="J2" s="4"/>
      <c r="L2" s="13"/>
      <c r="M2" s="4"/>
      <c r="N2" s="19"/>
    </row>
    <row r="3" spans="1:14" s="4" customFormat="1" ht="16.5" customHeight="1" thickBot="1" x14ac:dyDescent="0.25">
      <c r="A3" s="10"/>
      <c r="B3" s="50" t="s">
        <v>47</v>
      </c>
      <c r="C3" s="51"/>
      <c r="D3" s="52"/>
      <c r="E3" s="50" t="s">
        <v>48</v>
      </c>
      <c r="F3" s="51"/>
      <c r="G3" s="51"/>
      <c r="H3" s="51"/>
      <c r="I3" s="51"/>
      <c r="J3" s="51"/>
      <c r="K3" s="52"/>
      <c r="L3" s="50" t="s">
        <v>49</v>
      </c>
      <c r="M3" s="51"/>
      <c r="N3" s="52"/>
    </row>
    <row r="4" spans="1:14" s="3" customFormat="1" ht="60.75" thickBot="1" x14ac:dyDescent="0.25">
      <c r="A4" s="36" t="s">
        <v>43</v>
      </c>
      <c r="B4" s="37" t="s">
        <v>46</v>
      </c>
      <c r="C4" s="37" t="s">
        <v>45</v>
      </c>
      <c r="D4" s="37" t="s">
        <v>1</v>
      </c>
      <c r="E4" s="37" t="s">
        <v>68</v>
      </c>
      <c r="F4" s="37" t="s">
        <v>50</v>
      </c>
      <c r="G4" s="37" t="s">
        <v>36</v>
      </c>
      <c r="H4" s="37" t="s">
        <v>4</v>
      </c>
      <c r="I4" s="37" t="s">
        <v>37</v>
      </c>
      <c r="J4" s="37" t="s">
        <v>38</v>
      </c>
      <c r="K4" s="38" t="s">
        <v>39</v>
      </c>
      <c r="L4" s="39" t="s">
        <v>53</v>
      </c>
      <c r="M4" s="39" t="s">
        <v>2</v>
      </c>
      <c r="N4" s="39" t="s">
        <v>3</v>
      </c>
    </row>
    <row r="5" spans="1:14" s="11" customFormat="1" ht="166.5" customHeight="1" x14ac:dyDescent="0.2">
      <c r="A5" s="43">
        <f>projet!A2</f>
        <v>0</v>
      </c>
      <c r="B5" s="44">
        <f>projet!I2</f>
        <v>0</v>
      </c>
      <c r="C5" s="45">
        <f>projet!K2</f>
        <v>0</v>
      </c>
      <c r="D5" s="46" t="e">
        <f>VLOOKUP(projet!Q2,params!$A$5:$C$12,IF(ISERROR(MATCH(params!$B$1,params!$A$5:$C$5,0)),1,MATCH(params!$B$1,params!$A$5:$C$5,0)),FALSE)</f>
        <v>#N/A</v>
      </c>
      <c r="E5" s="44">
        <f>projet!G2</f>
        <v>0</v>
      </c>
      <c r="F5" s="46">
        <f>projet!F2</f>
        <v>0</v>
      </c>
      <c r="G5" s="46">
        <f>projet!E2</f>
        <v>0</v>
      </c>
      <c r="H5" s="46">
        <f>projet!H2</f>
        <v>0</v>
      </c>
      <c r="I5" s="47">
        <f>projet!L2</f>
        <v>0</v>
      </c>
      <c r="J5" s="47">
        <f>projet!M2</f>
        <v>0</v>
      </c>
      <c r="K5" s="48">
        <f>projet!O2</f>
        <v>0</v>
      </c>
      <c r="L5" s="44">
        <f>projet!R2</f>
        <v>0</v>
      </c>
      <c r="M5" s="47"/>
      <c r="N5" s="49">
        <f>projet!N2</f>
        <v>0</v>
      </c>
    </row>
  </sheetData>
  <autoFilter ref="A4:N5"/>
  <mergeCells count="4">
    <mergeCell ref="L3:N3"/>
    <mergeCell ref="B3:D3"/>
    <mergeCell ref="E3:K3"/>
    <mergeCell ref="H1:I1"/>
  </mergeCells>
  <phoneticPr fontId="0" type="noConversion"/>
  <conditionalFormatting sqref="F2 K1 F4:F64950">
    <cfRule type="cellIs" dxfId="5" priority="49" stopIfTrue="1" operator="equal">
      <formula>"Mineur"</formula>
    </cfRule>
    <cfRule type="cellIs" dxfId="4" priority="50" stopIfTrue="1" operator="equal">
      <formula>"Critique"</formula>
    </cfRule>
    <cfRule type="cellIs" dxfId="3" priority="51" stopIfTrue="1" operator="equal">
      <formula>"Majeur"</formula>
    </cfRule>
  </conditionalFormatting>
  <conditionalFormatting sqref="G2 G4:G64950">
    <cfRule type="cellIs" dxfId="2" priority="46" stopIfTrue="1" operator="equal">
      <formula>"Moyenne"</formula>
    </cfRule>
    <cfRule type="cellIs" dxfId="1" priority="47" stopIfTrue="1" operator="equal">
      <formula>"Faible"</formula>
    </cfRule>
    <cfRule type="cellIs" dxfId="0" priority="48" stopIfTrue="1" operator="equal">
      <formula>"Urgente"</formula>
    </cfRule>
  </conditionalFormatting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 alignWithMargins="0">
    <oddFooter>&amp;L&amp;F&amp;R&amp;12page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MAJ">
                <anchor moveWithCells="1" sizeWithCells="1">
                  <from>
                    <xdr:col>13</xdr:col>
                    <xdr:colOff>533400</xdr:colOff>
                    <xdr:row>0</xdr:row>
                    <xdr:rowOff>47625</xdr:rowOff>
                  </from>
                  <to>
                    <xdr:col>13</xdr:col>
                    <xdr:colOff>1323975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14"/>
  <sheetViews>
    <sheetView topLeftCell="A70" workbookViewId="0">
      <selection activeCell="A102" sqref="A102:IV102"/>
    </sheetView>
  </sheetViews>
  <sheetFormatPr baseColWidth="10" defaultRowHeight="12.75" x14ac:dyDescent="0.2"/>
  <cols>
    <col min="1" max="1" width="23.42578125" style="2" customWidth="1"/>
    <col min="2" max="2" width="31.42578125" style="2" customWidth="1"/>
    <col min="3" max="16384" width="11.42578125" style="2"/>
  </cols>
  <sheetData>
    <row r="1" spans="1:2" x14ac:dyDescent="0.2">
      <c r="A1" s="1" t="s">
        <v>5</v>
      </c>
    </row>
    <row r="7" spans="1:2" x14ac:dyDescent="0.2">
      <c r="A7" s="2" t="s">
        <v>0</v>
      </c>
    </row>
    <row r="8" spans="1:2" x14ac:dyDescent="0.2">
      <c r="A8" s="2" t="s">
        <v>6</v>
      </c>
      <c r="B8" s="2" t="s">
        <v>9</v>
      </c>
    </row>
    <row r="9" spans="1:2" x14ac:dyDescent="0.2">
      <c r="A9" s="2" t="s">
        <v>11</v>
      </c>
      <c r="B9" s="2" t="s">
        <v>12</v>
      </c>
    </row>
    <row r="10" spans="1:2" x14ac:dyDescent="0.2">
      <c r="A10" s="2" t="s">
        <v>22</v>
      </c>
      <c r="B10" s="2" t="s">
        <v>14</v>
      </c>
    </row>
    <row r="11" spans="1:2" x14ac:dyDescent="0.2">
      <c r="A11" s="2" t="s">
        <v>22</v>
      </c>
      <c r="B11" s="2" t="s">
        <v>14</v>
      </c>
    </row>
    <row r="12" spans="1:2" x14ac:dyDescent="0.2">
      <c r="A12" s="2" t="s">
        <v>11</v>
      </c>
      <c r="B12" s="2" t="s">
        <v>12</v>
      </c>
    </row>
    <row r="13" spans="1:2" x14ac:dyDescent="0.2">
      <c r="A13" s="2" t="s">
        <v>28</v>
      </c>
      <c r="B13" s="2" t="s">
        <v>12</v>
      </c>
    </row>
    <row r="14" spans="1:2" x14ac:dyDescent="0.2">
      <c r="A14" s="2" t="s">
        <v>11</v>
      </c>
      <c r="B14" s="2" t="s">
        <v>12</v>
      </c>
    </row>
    <row r="15" spans="1:2" x14ac:dyDescent="0.2">
      <c r="A15" s="2" t="s">
        <v>11</v>
      </c>
      <c r="B15" s="2" t="s">
        <v>12</v>
      </c>
    </row>
    <row r="16" spans="1:2" x14ac:dyDescent="0.2">
      <c r="A16" s="2" t="s">
        <v>22</v>
      </c>
      <c r="B16" s="2" t="s">
        <v>14</v>
      </c>
    </row>
    <row r="17" spans="1:2" x14ac:dyDescent="0.2">
      <c r="A17" s="2" t="s">
        <v>22</v>
      </c>
      <c r="B17" s="2" t="s">
        <v>14</v>
      </c>
    </row>
    <row r="18" spans="1:2" x14ac:dyDescent="0.2">
      <c r="A18" s="2" t="s">
        <v>11</v>
      </c>
      <c r="B18" s="2" t="s">
        <v>12</v>
      </c>
    </row>
    <row r="19" spans="1:2" x14ac:dyDescent="0.2">
      <c r="A19" s="2" t="s">
        <v>15</v>
      </c>
      <c r="B19" s="2" t="s">
        <v>16</v>
      </c>
    </row>
    <row r="20" spans="1:2" x14ac:dyDescent="0.2">
      <c r="A20" s="2" t="s">
        <v>25</v>
      </c>
      <c r="B20" s="2" t="s">
        <v>12</v>
      </c>
    </row>
    <row r="21" spans="1:2" x14ac:dyDescent="0.2">
      <c r="A21" s="2" t="s">
        <v>12</v>
      </c>
      <c r="B21" s="2" t="s">
        <v>26</v>
      </c>
    </row>
    <row r="22" spans="1:2" x14ac:dyDescent="0.2">
      <c r="A22" s="2" t="s">
        <v>22</v>
      </c>
      <c r="B22" s="2" t="s">
        <v>21</v>
      </c>
    </row>
    <row r="23" spans="1:2" x14ac:dyDescent="0.2">
      <c r="A23" s="2" t="s">
        <v>11</v>
      </c>
      <c r="B23" s="2" t="s">
        <v>12</v>
      </c>
    </row>
    <row r="24" spans="1:2" x14ac:dyDescent="0.2">
      <c r="A24" s="2" t="s">
        <v>25</v>
      </c>
      <c r="B24" s="2" t="s">
        <v>12</v>
      </c>
    </row>
    <row r="25" spans="1:2" x14ac:dyDescent="0.2">
      <c r="A25" s="2" t="s">
        <v>10</v>
      </c>
      <c r="B25" s="2" t="s">
        <v>24</v>
      </c>
    </row>
    <row r="26" spans="1:2" x14ac:dyDescent="0.2">
      <c r="A26" s="2" t="s">
        <v>25</v>
      </c>
      <c r="B26" s="2" t="s">
        <v>12</v>
      </c>
    </row>
    <row r="27" spans="1:2" x14ac:dyDescent="0.2">
      <c r="A27" s="2" t="s">
        <v>25</v>
      </c>
      <c r="B27" s="2" t="s">
        <v>12</v>
      </c>
    </row>
    <row r="28" spans="1:2" x14ac:dyDescent="0.2">
      <c r="A28" s="2" t="s">
        <v>29</v>
      </c>
      <c r="B28" s="2" t="s">
        <v>22</v>
      </c>
    </row>
    <row r="29" spans="1:2" x14ac:dyDescent="0.2">
      <c r="A29" s="2" t="s">
        <v>25</v>
      </c>
      <c r="B29" s="2" t="s">
        <v>12</v>
      </c>
    </row>
    <row r="30" spans="1:2" x14ac:dyDescent="0.2">
      <c r="A30" s="2" t="s">
        <v>10</v>
      </c>
      <c r="B30" s="2" t="s">
        <v>24</v>
      </c>
    </row>
    <row r="31" spans="1:2" x14ac:dyDescent="0.2">
      <c r="A31" s="2" t="s">
        <v>10</v>
      </c>
      <c r="B31" s="2" t="s">
        <v>24</v>
      </c>
    </row>
    <row r="32" spans="1:2" x14ac:dyDescent="0.2">
      <c r="A32" s="2" t="s">
        <v>22</v>
      </c>
      <c r="B32" s="2" t="s">
        <v>21</v>
      </c>
    </row>
    <row r="33" spans="1:2" x14ac:dyDescent="0.2">
      <c r="A33" s="2" t="s">
        <v>28</v>
      </c>
      <c r="B33" s="2" t="s">
        <v>12</v>
      </c>
    </row>
    <row r="34" spans="1:2" x14ac:dyDescent="0.2">
      <c r="A34" s="2" t="s">
        <v>28</v>
      </c>
      <c r="B34" s="2" t="s">
        <v>12</v>
      </c>
    </row>
    <row r="35" spans="1:2" x14ac:dyDescent="0.2">
      <c r="A35" s="2" t="s">
        <v>22</v>
      </c>
      <c r="B35" s="2" t="s">
        <v>14</v>
      </c>
    </row>
    <row r="36" spans="1:2" x14ac:dyDescent="0.2">
      <c r="A36" s="2" t="s">
        <v>11</v>
      </c>
      <c r="B36" s="2" t="s">
        <v>12</v>
      </c>
    </row>
    <row r="37" spans="1:2" x14ac:dyDescent="0.2">
      <c r="A37" s="2" t="s">
        <v>11</v>
      </c>
      <c r="B37" s="2" t="s">
        <v>12</v>
      </c>
    </row>
    <row r="38" spans="1:2" x14ac:dyDescent="0.2">
      <c r="A38" s="2" t="s">
        <v>25</v>
      </c>
      <c r="B38" s="2" t="s">
        <v>12</v>
      </c>
    </row>
    <row r="39" spans="1:2" x14ac:dyDescent="0.2">
      <c r="A39" s="2" t="s">
        <v>28</v>
      </c>
      <c r="B39" s="2" t="s">
        <v>12</v>
      </c>
    </row>
    <row r="40" spans="1:2" x14ac:dyDescent="0.2">
      <c r="A40" s="2" t="s">
        <v>11</v>
      </c>
      <c r="B40" s="2" t="s">
        <v>12</v>
      </c>
    </row>
    <row r="41" spans="1:2" x14ac:dyDescent="0.2">
      <c r="A41" s="2" t="s">
        <v>11</v>
      </c>
      <c r="B41" s="2" t="s">
        <v>12</v>
      </c>
    </row>
    <row r="42" spans="1:2" x14ac:dyDescent="0.2">
      <c r="A42" s="2" t="s">
        <v>22</v>
      </c>
      <c r="B42" s="2" t="s">
        <v>14</v>
      </c>
    </row>
    <row r="43" spans="1:2" x14ac:dyDescent="0.2">
      <c r="A43" s="2" t="s">
        <v>11</v>
      </c>
      <c r="B43" s="2" t="s">
        <v>12</v>
      </c>
    </row>
    <row r="44" spans="1:2" x14ac:dyDescent="0.2">
      <c r="A44" s="2" t="s">
        <v>11</v>
      </c>
      <c r="B44" s="2" t="s">
        <v>12</v>
      </c>
    </row>
    <row r="45" spans="1:2" x14ac:dyDescent="0.2">
      <c r="A45" s="2" t="s">
        <v>11</v>
      </c>
      <c r="B45" s="2" t="s">
        <v>12</v>
      </c>
    </row>
    <row r="46" spans="1:2" x14ac:dyDescent="0.2">
      <c r="A46" s="2" t="s">
        <v>11</v>
      </c>
      <c r="B46" s="2" t="s">
        <v>12</v>
      </c>
    </row>
    <row r="47" spans="1:2" x14ac:dyDescent="0.2">
      <c r="A47" s="2" t="s">
        <v>11</v>
      </c>
      <c r="B47" s="2" t="s">
        <v>12</v>
      </c>
    </row>
    <row r="48" spans="1:2" x14ac:dyDescent="0.2">
      <c r="A48" s="2" t="s">
        <v>13</v>
      </c>
      <c r="B48" s="2" t="s">
        <v>22</v>
      </c>
    </row>
    <row r="49" spans="1:2" x14ac:dyDescent="0.2">
      <c r="A49" s="2" t="s">
        <v>25</v>
      </c>
      <c r="B49" s="2" t="s">
        <v>12</v>
      </c>
    </row>
    <row r="50" spans="1:2" x14ac:dyDescent="0.2">
      <c r="A50" s="2" t="s">
        <v>22</v>
      </c>
      <c r="B50" s="2" t="s">
        <v>21</v>
      </c>
    </row>
    <row r="51" spans="1:2" x14ac:dyDescent="0.2">
      <c r="A51" s="2" t="s">
        <v>10</v>
      </c>
      <c r="B51" s="2" t="s">
        <v>24</v>
      </c>
    </row>
    <row r="52" spans="1:2" x14ac:dyDescent="0.2">
      <c r="A52" s="2" t="s">
        <v>13</v>
      </c>
      <c r="B52" s="2" t="s">
        <v>22</v>
      </c>
    </row>
    <row r="53" spans="1:2" x14ac:dyDescent="0.2">
      <c r="A53" s="2" t="s">
        <v>25</v>
      </c>
      <c r="B53" s="2" t="s">
        <v>12</v>
      </c>
    </row>
    <row r="54" spans="1:2" x14ac:dyDescent="0.2">
      <c r="A54" s="2" t="s">
        <v>10</v>
      </c>
      <c r="B54" s="2" t="s">
        <v>24</v>
      </c>
    </row>
    <row r="55" spans="1:2" x14ac:dyDescent="0.2">
      <c r="A55" s="2" t="s">
        <v>25</v>
      </c>
      <c r="B55" s="2" t="s">
        <v>12</v>
      </c>
    </row>
    <row r="56" spans="1:2" x14ac:dyDescent="0.2">
      <c r="A56" s="2" t="s">
        <v>10</v>
      </c>
      <c r="B56" s="2" t="s">
        <v>24</v>
      </c>
    </row>
    <row r="57" spans="1:2" x14ac:dyDescent="0.2">
      <c r="A57" s="2" t="s">
        <v>11</v>
      </c>
      <c r="B57" s="2" t="s">
        <v>12</v>
      </c>
    </row>
    <row r="58" spans="1:2" x14ac:dyDescent="0.2">
      <c r="A58" s="2" t="s">
        <v>13</v>
      </c>
      <c r="B58" s="2" t="s">
        <v>22</v>
      </c>
    </row>
    <row r="59" spans="1:2" x14ac:dyDescent="0.2">
      <c r="A59" s="2" t="s">
        <v>30</v>
      </c>
      <c r="B59" s="2" t="s">
        <v>22</v>
      </c>
    </row>
    <row r="60" spans="1:2" x14ac:dyDescent="0.2">
      <c r="A60" s="2" t="s">
        <v>15</v>
      </c>
      <c r="B60" s="2" t="s">
        <v>16</v>
      </c>
    </row>
    <row r="61" spans="1:2" x14ac:dyDescent="0.2">
      <c r="A61" s="2" t="s">
        <v>11</v>
      </c>
      <c r="B61" s="2" t="s">
        <v>12</v>
      </c>
    </row>
    <row r="62" spans="1:2" x14ac:dyDescent="0.2">
      <c r="A62" s="2" t="s">
        <v>11</v>
      </c>
      <c r="B62" s="2" t="s">
        <v>12</v>
      </c>
    </row>
    <row r="63" spans="1:2" x14ac:dyDescent="0.2">
      <c r="A63" s="2" t="s">
        <v>31</v>
      </c>
      <c r="B63" s="2" t="s">
        <v>10</v>
      </c>
    </row>
    <row r="64" spans="1:2" x14ac:dyDescent="0.2">
      <c r="A64" s="2" t="s">
        <v>25</v>
      </c>
      <c r="B64" s="2" t="s">
        <v>12</v>
      </c>
    </row>
    <row r="65" spans="1:2" x14ac:dyDescent="0.2">
      <c r="A65" s="2" t="s">
        <v>25</v>
      </c>
      <c r="B65" s="2" t="s">
        <v>12</v>
      </c>
    </row>
    <row r="66" spans="1:2" x14ac:dyDescent="0.2">
      <c r="A66" s="2" t="s">
        <v>25</v>
      </c>
      <c r="B66" s="2" t="s">
        <v>12</v>
      </c>
    </row>
    <row r="67" spans="1:2" x14ac:dyDescent="0.2">
      <c r="A67" s="2" t="s">
        <v>28</v>
      </c>
      <c r="B67" s="2" t="s">
        <v>12</v>
      </c>
    </row>
    <row r="68" spans="1:2" x14ac:dyDescent="0.2">
      <c r="A68" s="2" t="s">
        <v>32</v>
      </c>
      <c r="B68" s="2" t="s">
        <v>10</v>
      </c>
    </row>
    <row r="69" spans="1:2" x14ac:dyDescent="0.2">
      <c r="A69" s="2" t="s">
        <v>7</v>
      </c>
      <c r="B69" s="2" t="s">
        <v>17</v>
      </c>
    </row>
    <row r="70" spans="1:2" x14ac:dyDescent="0.2">
      <c r="A70" s="2" t="s">
        <v>8</v>
      </c>
      <c r="B70" s="2" t="s">
        <v>10</v>
      </c>
    </row>
    <row r="71" spans="1:2" x14ac:dyDescent="0.2">
      <c r="A71" s="2" t="s">
        <v>30</v>
      </c>
      <c r="B71" s="2" t="s">
        <v>22</v>
      </c>
    </row>
    <row r="72" spans="1:2" x14ac:dyDescent="0.2">
      <c r="A72" s="2" t="s">
        <v>28</v>
      </c>
      <c r="B72" s="2" t="s">
        <v>12</v>
      </c>
    </row>
    <row r="73" spans="1:2" x14ac:dyDescent="0.2">
      <c r="A73" s="2" t="s">
        <v>11</v>
      </c>
      <c r="B73" s="2" t="s">
        <v>12</v>
      </c>
    </row>
    <row r="74" spans="1:2" x14ac:dyDescent="0.2">
      <c r="A74" s="2" t="s">
        <v>11</v>
      </c>
      <c r="B74" s="2" t="s">
        <v>12</v>
      </c>
    </row>
    <row r="75" spans="1:2" x14ac:dyDescent="0.2">
      <c r="A75" s="2" t="s">
        <v>10</v>
      </c>
      <c r="B75" s="2" t="s">
        <v>24</v>
      </c>
    </row>
    <row r="76" spans="1:2" x14ac:dyDescent="0.2">
      <c r="A76" s="2" t="s">
        <v>28</v>
      </c>
      <c r="B76" s="2" t="s">
        <v>12</v>
      </c>
    </row>
    <row r="77" spans="1:2" x14ac:dyDescent="0.2">
      <c r="A77" s="2" t="s">
        <v>28</v>
      </c>
      <c r="B77" s="2" t="s">
        <v>12</v>
      </c>
    </row>
    <row r="78" spans="1:2" x14ac:dyDescent="0.2">
      <c r="A78" s="2" t="s">
        <v>13</v>
      </c>
      <c r="B78" s="2" t="s">
        <v>22</v>
      </c>
    </row>
    <row r="79" spans="1:2" x14ac:dyDescent="0.2">
      <c r="A79" s="2" t="s">
        <v>28</v>
      </c>
      <c r="B79" s="2" t="s">
        <v>12</v>
      </c>
    </row>
    <row r="80" spans="1:2" x14ac:dyDescent="0.2">
      <c r="A80" s="2" t="s">
        <v>25</v>
      </c>
      <c r="B80" s="2" t="s">
        <v>12</v>
      </c>
    </row>
    <row r="81" spans="1:2" x14ac:dyDescent="0.2">
      <c r="A81" s="2" t="s">
        <v>25</v>
      </c>
      <c r="B81" s="2" t="s">
        <v>12</v>
      </c>
    </row>
    <row r="82" spans="1:2" x14ac:dyDescent="0.2">
      <c r="A82" s="2" t="s">
        <v>11</v>
      </c>
      <c r="B82" s="2" t="s">
        <v>12</v>
      </c>
    </row>
    <row r="83" spans="1:2" x14ac:dyDescent="0.2">
      <c r="A83" s="2" t="s">
        <v>25</v>
      </c>
      <c r="B83" s="2" t="s">
        <v>12</v>
      </c>
    </row>
    <row r="84" spans="1:2" x14ac:dyDescent="0.2">
      <c r="A84" s="2" t="s">
        <v>25</v>
      </c>
      <c r="B84" s="2" t="s">
        <v>12</v>
      </c>
    </row>
    <row r="85" spans="1:2" x14ac:dyDescent="0.2">
      <c r="A85" s="2" t="s">
        <v>28</v>
      </c>
      <c r="B85" s="2" t="s">
        <v>12</v>
      </c>
    </row>
    <row r="86" spans="1:2" x14ac:dyDescent="0.2">
      <c r="A86" s="2" t="s">
        <v>28</v>
      </c>
      <c r="B86" s="2" t="s">
        <v>12</v>
      </c>
    </row>
    <row r="87" spans="1:2" x14ac:dyDescent="0.2">
      <c r="A87" s="2" t="s">
        <v>11</v>
      </c>
      <c r="B87" s="2" t="s">
        <v>12</v>
      </c>
    </row>
    <row r="88" spans="1:2" x14ac:dyDescent="0.2">
      <c r="A88" s="2" t="s">
        <v>11</v>
      </c>
      <c r="B88" s="2" t="s">
        <v>12</v>
      </c>
    </row>
    <row r="89" spans="1:2" x14ac:dyDescent="0.2">
      <c r="A89" s="2" t="s">
        <v>25</v>
      </c>
      <c r="B89" s="2" t="s">
        <v>12</v>
      </c>
    </row>
    <row r="90" spans="1:2" x14ac:dyDescent="0.2">
      <c r="A90" s="2" t="s">
        <v>30</v>
      </c>
      <c r="B90" s="2" t="s">
        <v>21</v>
      </c>
    </row>
    <row r="91" spans="1:2" x14ac:dyDescent="0.2">
      <c r="A91" s="2" t="s">
        <v>28</v>
      </c>
      <c r="B91" s="2" t="s">
        <v>12</v>
      </c>
    </row>
    <row r="92" spans="1:2" x14ac:dyDescent="0.2">
      <c r="A92" s="2" t="s">
        <v>11</v>
      </c>
      <c r="B92" s="2" t="s">
        <v>12</v>
      </c>
    </row>
    <row r="93" spans="1:2" x14ac:dyDescent="0.2">
      <c r="A93" s="2" t="s">
        <v>16</v>
      </c>
      <c r="B93" s="2" t="s">
        <v>23</v>
      </c>
    </row>
    <row r="94" spans="1:2" x14ac:dyDescent="0.2">
      <c r="A94" s="2" t="s">
        <v>13</v>
      </c>
      <c r="B94" s="2" t="s">
        <v>22</v>
      </c>
    </row>
    <row r="95" spans="1:2" x14ac:dyDescent="0.2">
      <c r="A95" s="2" t="s">
        <v>13</v>
      </c>
      <c r="B95" s="2" t="s">
        <v>22</v>
      </c>
    </row>
    <row r="96" spans="1:2" x14ac:dyDescent="0.2">
      <c r="A96" s="2" t="s">
        <v>11</v>
      </c>
      <c r="B96" s="2" t="s">
        <v>12</v>
      </c>
    </row>
    <row r="97" spans="1:2" x14ac:dyDescent="0.2">
      <c r="A97" s="2" t="s">
        <v>30</v>
      </c>
      <c r="B97" s="2" t="s">
        <v>22</v>
      </c>
    </row>
    <row r="98" spans="1:2" x14ac:dyDescent="0.2">
      <c r="A98" s="2" t="s">
        <v>11</v>
      </c>
      <c r="B98" s="2" t="s">
        <v>12</v>
      </c>
    </row>
    <row r="99" spans="1:2" x14ac:dyDescent="0.2">
      <c r="A99" s="2" t="s">
        <v>12</v>
      </c>
      <c r="B99" s="2" t="s">
        <v>33</v>
      </c>
    </row>
    <row r="100" spans="1:2" x14ac:dyDescent="0.2">
      <c r="A100" s="2" t="s">
        <v>30</v>
      </c>
      <c r="B100" s="2" t="s">
        <v>22</v>
      </c>
    </row>
    <row r="101" spans="1:2" x14ac:dyDescent="0.2">
      <c r="A101" s="2" t="s">
        <v>11</v>
      </c>
      <c r="B101" s="2" t="s">
        <v>12</v>
      </c>
    </row>
    <row r="102" spans="1:2" x14ac:dyDescent="0.2">
      <c r="A102" s="2" t="s">
        <v>11</v>
      </c>
      <c r="B102" s="2" t="s">
        <v>12</v>
      </c>
    </row>
    <row r="103" spans="1:2" x14ac:dyDescent="0.2">
      <c r="A103" s="2" t="s">
        <v>11</v>
      </c>
      <c r="B103" s="2" t="s">
        <v>12</v>
      </c>
    </row>
    <row r="104" spans="1:2" x14ac:dyDescent="0.2">
      <c r="A104" s="2" t="s">
        <v>8</v>
      </c>
      <c r="B104" s="2" t="s">
        <v>10</v>
      </c>
    </row>
    <row r="105" spans="1:2" x14ac:dyDescent="0.2">
      <c r="A105" s="2" t="s">
        <v>28</v>
      </c>
      <c r="B105" s="2" t="s">
        <v>12</v>
      </c>
    </row>
    <row r="106" spans="1:2" x14ac:dyDescent="0.2">
      <c r="A106" s="2" t="s">
        <v>28</v>
      </c>
      <c r="B106" s="2" t="s">
        <v>12</v>
      </c>
    </row>
    <row r="107" spans="1:2" x14ac:dyDescent="0.2">
      <c r="A107" s="2" t="s">
        <v>13</v>
      </c>
      <c r="B107" s="2" t="s">
        <v>22</v>
      </c>
    </row>
    <row r="108" spans="1:2" x14ac:dyDescent="0.2">
      <c r="A108" s="2" t="s">
        <v>10</v>
      </c>
      <c r="B108" s="2" t="s">
        <v>34</v>
      </c>
    </row>
    <row r="109" spans="1:2" x14ac:dyDescent="0.2">
      <c r="A109" s="2" t="s">
        <v>11</v>
      </c>
      <c r="B109" s="2" t="s">
        <v>12</v>
      </c>
    </row>
    <row r="110" spans="1:2" x14ac:dyDescent="0.2">
      <c r="A110" s="2" t="s">
        <v>22</v>
      </c>
      <c r="B110" s="2" t="s">
        <v>14</v>
      </c>
    </row>
    <row r="111" spans="1:2" x14ac:dyDescent="0.2">
      <c r="A111" s="2" t="s">
        <v>25</v>
      </c>
      <c r="B111" s="2" t="s">
        <v>12</v>
      </c>
    </row>
    <row r="112" spans="1:2" x14ac:dyDescent="0.2">
      <c r="A112" s="2" t="s">
        <v>11</v>
      </c>
      <c r="B112" s="2" t="s">
        <v>12</v>
      </c>
    </row>
    <row r="113" spans="1:2" x14ac:dyDescent="0.2">
      <c r="A113" s="2" t="s">
        <v>13</v>
      </c>
      <c r="B113" s="2" t="s">
        <v>22</v>
      </c>
    </row>
    <row r="114" spans="1:2" x14ac:dyDescent="0.2">
      <c r="A114" s="2" t="s">
        <v>10</v>
      </c>
      <c r="B114" s="2" t="s">
        <v>24</v>
      </c>
    </row>
    <row r="115" spans="1:2" x14ac:dyDescent="0.2">
      <c r="A115" s="2" t="s">
        <v>11</v>
      </c>
      <c r="B115" s="2" t="s">
        <v>12</v>
      </c>
    </row>
    <row r="116" spans="1:2" x14ac:dyDescent="0.2">
      <c r="A116" s="2" t="s">
        <v>11</v>
      </c>
      <c r="B116" s="2" t="s">
        <v>12</v>
      </c>
    </row>
    <row r="117" spans="1:2" x14ac:dyDescent="0.2">
      <c r="A117" s="2" t="s">
        <v>25</v>
      </c>
      <c r="B117" s="2" t="s">
        <v>12</v>
      </c>
    </row>
    <row r="118" spans="1:2" x14ac:dyDescent="0.2">
      <c r="A118" s="2" t="s">
        <v>29</v>
      </c>
      <c r="B118" s="2" t="s">
        <v>22</v>
      </c>
    </row>
    <row r="119" spans="1:2" x14ac:dyDescent="0.2">
      <c r="A119" s="2" t="s">
        <v>28</v>
      </c>
      <c r="B119" s="2" t="s">
        <v>12</v>
      </c>
    </row>
    <row r="120" spans="1:2" x14ac:dyDescent="0.2">
      <c r="A120" s="2" t="s">
        <v>28</v>
      </c>
      <c r="B120" s="2" t="s">
        <v>12</v>
      </c>
    </row>
    <row r="121" spans="1:2" x14ac:dyDescent="0.2">
      <c r="A121" s="2" t="s">
        <v>10</v>
      </c>
      <c r="B121" s="2" t="s">
        <v>24</v>
      </c>
    </row>
    <row r="122" spans="1:2" x14ac:dyDescent="0.2">
      <c r="A122" s="2" t="s">
        <v>31</v>
      </c>
      <c r="B122" s="2" t="s">
        <v>10</v>
      </c>
    </row>
    <row r="123" spans="1:2" x14ac:dyDescent="0.2">
      <c r="A123" s="2" t="s">
        <v>25</v>
      </c>
      <c r="B123" s="2" t="s">
        <v>12</v>
      </c>
    </row>
    <row r="124" spans="1:2" x14ac:dyDescent="0.2">
      <c r="A124" s="2" t="s">
        <v>25</v>
      </c>
      <c r="B124" s="2" t="s">
        <v>12</v>
      </c>
    </row>
    <row r="125" spans="1:2" x14ac:dyDescent="0.2">
      <c r="A125" s="2" t="s">
        <v>22</v>
      </c>
      <c r="B125" s="2" t="s">
        <v>14</v>
      </c>
    </row>
    <row r="126" spans="1:2" x14ac:dyDescent="0.2">
      <c r="A126" s="2" t="s">
        <v>25</v>
      </c>
      <c r="B126" s="2" t="s">
        <v>12</v>
      </c>
    </row>
    <row r="127" spans="1:2" x14ac:dyDescent="0.2">
      <c r="A127" s="2" t="s">
        <v>29</v>
      </c>
      <c r="B127" s="2" t="s">
        <v>22</v>
      </c>
    </row>
    <row r="128" spans="1:2" x14ac:dyDescent="0.2">
      <c r="A128" s="2" t="s">
        <v>29</v>
      </c>
      <c r="B128" s="2" t="s">
        <v>22</v>
      </c>
    </row>
    <row r="129" spans="1:2" x14ac:dyDescent="0.2">
      <c r="A129" s="2" t="s">
        <v>25</v>
      </c>
      <c r="B129" s="2" t="s">
        <v>12</v>
      </c>
    </row>
    <row r="130" spans="1:2" x14ac:dyDescent="0.2">
      <c r="A130" s="2" t="s">
        <v>25</v>
      </c>
      <c r="B130" s="2" t="s">
        <v>12</v>
      </c>
    </row>
    <row r="131" spans="1:2" x14ac:dyDescent="0.2">
      <c r="A131" s="2" t="s">
        <v>28</v>
      </c>
      <c r="B131" s="2" t="s">
        <v>12</v>
      </c>
    </row>
    <row r="132" spans="1:2" x14ac:dyDescent="0.2">
      <c r="A132" s="2" t="s">
        <v>28</v>
      </c>
      <c r="B132" s="2" t="s">
        <v>12</v>
      </c>
    </row>
    <row r="133" spans="1:2" x14ac:dyDescent="0.2">
      <c r="A133" s="2" t="s">
        <v>13</v>
      </c>
      <c r="B133" s="2" t="s">
        <v>22</v>
      </c>
    </row>
    <row r="134" spans="1:2" x14ac:dyDescent="0.2">
      <c r="A134" s="2" t="s">
        <v>29</v>
      </c>
      <c r="B134" s="2" t="s">
        <v>22</v>
      </c>
    </row>
    <row r="135" spans="1:2" x14ac:dyDescent="0.2">
      <c r="A135" s="2" t="s">
        <v>29</v>
      </c>
      <c r="B135" s="2" t="s">
        <v>22</v>
      </c>
    </row>
    <row r="136" spans="1:2" x14ac:dyDescent="0.2">
      <c r="A136" s="2" t="s">
        <v>25</v>
      </c>
      <c r="B136" s="2" t="s">
        <v>12</v>
      </c>
    </row>
    <row r="137" spans="1:2" x14ac:dyDescent="0.2">
      <c r="A137" s="2" t="s">
        <v>25</v>
      </c>
      <c r="B137" s="2" t="s">
        <v>12</v>
      </c>
    </row>
    <row r="138" spans="1:2" x14ac:dyDescent="0.2">
      <c r="A138" s="2" t="s">
        <v>8</v>
      </c>
      <c r="B138" s="2" t="s">
        <v>24</v>
      </c>
    </row>
    <row r="139" spans="1:2" x14ac:dyDescent="0.2">
      <c r="A139" s="2" t="s">
        <v>29</v>
      </c>
      <c r="B139" s="2" t="s">
        <v>22</v>
      </c>
    </row>
    <row r="140" spans="1:2" x14ac:dyDescent="0.2">
      <c r="A140" s="2" t="s">
        <v>11</v>
      </c>
      <c r="B140" s="2" t="s">
        <v>12</v>
      </c>
    </row>
    <row r="141" spans="1:2" x14ac:dyDescent="0.2">
      <c r="A141" s="2" t="s">
        <v>10</v>
      </c>
      <c r="B141" s="2" t="s">
        <v>24</v>
      </c>
    </row>
    <row r="142" spans="1:2" x14ac:dyDescent="0.2">
      <c r="A142" s="2" t="s">
        <v>30</v>
      </c>
      <c r="B142" s="2" t="s">
        <v>22</v>
      </c>
    </row>
    <row r="143" spans="1:2" x14ac:dyDescent="0.2">
      <c r="A143" s="2" t="s">
        <v>29</v>
      </c>
      <c r="B143" s="2" t="s">
        <v>22</v>
      </c>
    </row>
    <row r="144" spans="1:2" x14ac:dyDescent="0.2">
      <c r="A144" s="2" t="s">
        <v>29</v>
      </c>
      <c r="B144" s="2" t="s">
        <v>22</v>
      </c>
    </row>
    <row r="145" spans="1:2" x14ac:dyDescent="0.2">
      <c r="A145" s="2" t="s">
        <v>29</v>
      </c>
      <c r="B145" s="2" t="s">
        <v>22</v>
      </c>
    </row>
    <row r="146" spans="1:2" x14ac:dyDescent="0.2">
      <c r="A146" s="2" t="s">
        <v>20</v>
      </c>
      <c r="B146" s="2" t="s">
        <v>16</v>
      </c>
    </row>
    <row r="147" spans="1:2" x14ac:dyDescent="0.2">
      <c r="A147" s="2" t="s">
        <v>30</v>
      </c>
      <c r="B147" s="2" t="s">
        <v>22</v>
      </c>
    </row>
    <row r="148" spans="1:2" x14ac:dyDescent="0.2">
      <c r="A148" s="2" t="s">
        <v>29</v>
      </c>
      <c r="B148" s="2" t="s">
        <v>22</v>
      </c>
    </row>
    <row r="149" spans="1:2" x14ac:dyDescent="0.2">
      <c r="A149" s="2" t="s">
        <v>29</v>
      </c>
      <c r="B149" s="2" t="s">
        <v>22</v>
      </c>
    </row>
    <row r="150" spans="1:2" x14ac:dyDescent="0.2">
      <c r="A150" s="2" t="s">
        <v>30</v>
      </c>
      <c r="B150" s="2" t="s">
        <v>22</v>
      </c>
    </row>
    <row r="151" spans="1:2" x14ac:dyDescent="0.2">
      <c r="A151" s="2" t="s">
        <v>28</v>
      </c>
      <c r="B151" s="2" t="s">
        <v>12</v>
      </c>
    </row>
    <row r="152" spans="1:2" x14ac:dyDescent="0.2">
      <c r="A152" s="2" t="s">
        <v>13</v>
      </c>
      <c r="B152" s="2" t="s">
        <v>22</v>
      </c>
    </row>
    <row r="153" spans="1:2" x14ac:dyDescent="0.2">
      <c r="A153" s="2" t="s">
        <v>30</v>
      </c>
      <c r="B153" s="2" t="s">
        <v>14</v>
      </c>
    </row>
    <row r="154" spans="1:2" x14ac:dyDescent="0.2">
      <c r="A154" s="2" t="s">
        <v>29</v>
      </c>
      <c r="B154" s="2" t="s">
        <v>22</v>
      </c>
    </row>
    <row r="155" spans="1:2" x14ac:dyDescent="0.2">
      <c r="A155" s="2" t="s">
        <v>29</v>
      </c>
      <c r="B155" s="2" t="s">
        <v>22</v>
      </c>
    </row>
    <row r="156" spans="1:2" x14ac:dyDescent="0.2">
      <c r="A156" s="2" t="s">
        <v>15</v>
      </c>
      <c r="B156" s="2" t="s">
        <v>16</v>
      </c>
    </row>
    <row r="157" spans="1:2" x14ac:dyDescent="0.2">
      <c r="A157" s="2" t="s">
        <v>15</v>
      </c>
      <c r="B157" s="2" t="s">
        <v>16</v>
      </c>
    </row>
    <row r="158" spans="1:2" x14ac:dyDescent="0.2">
      <c r="A158" s="2" t="s">
        <v>11</v>
      </c>
      <c r="B158" s="2" t="s">
        <v>12</v>
      </c>
    </row>
    <row r="159" spans="1:2" x14ac:dyDescent="0.2">
      <c r="A159" s="2" t="s">
        <v>20</v>
      </c>
      <c r="B159" s="2" t="s">
        <v>16</v>
      </c>
    </row>
    <row r="160" spans="1:2" x14ac:dyDescent="0.2">
      <c r="A160" s="2" t="s">
        <v>20</v>
      </c>
      <c r="B160" s="2" t="s">
        <v>16</v>
      </c>
    </row>
    <row r="161" spans="1:2" x14ac:dyDescent="0.2">
      <c r="A161" s="2" t="s">
        <v>30</v>
      </c>
      <c r="B161" s="2" t="s">
        <v>22</v>
      </c>
    </row>
    <row r="162" spans="1:2" x14ac:dyDescent="0.2">
      <c r="A162" s="2" t="s">
        <v>15</v>
      </c>
      <c r="B162" s="2" t="s">
        <v>16</v>
      </c>
    </row>
    <row r="163" spans="1:2" x14ac:dyDescent="0.2">
      <c r="A163" s="2" t="s">
        <v>20</v>
      </c>
      <c r="B163" s="2" t="s">
        <v>16</v>
      </c>
    </row>
    <row r="164" spans="1:2" x14ac:dyDescent="0.2">
      <c r="A164" s="2" t="s">
        <v>30</v>
      </c>
      <c r="B164" s="2" t="s">
        <v>22</v>
      </c>
    </row>
    <row r="165" spans="1:2" x14ac:dyDescent="0.2">
      <c r="A165" s="2" t="s">
        <v>32</v>
      </c>
      <c r="B165" s="2" t="s">
        <v>10</v>
      </c>
    </row>
    <row r="166" spans="1:2" x14ac:dyDescent="0.2">
      <c r="A166" s="2" t="s">
        <v>29</v>
      </c>
      <c r="B166" s="2" t="s">
        <v>22</v>
      </c>
    </row>
    <row r="167" spans="1:2" x14ac:dyDescent="0.2">
      <c r="A167" s="2" t="s">
        <v>13</v>
      </c>
      <c r="B167" s="2" t="s">
        <v>22</v>
      </c>
    </row>
    <row r="168" spans="1:2" x14ac:dyDescent="0.2">
      <c r="A168" s="2" t="s">
        <v>18</v>
      </c>
      <c r="B168" s="2" t="s">
        <v>19</v>
      </c>
    </row>
    <row r="169" spans="1:2" x14ac:dyDescent="0.2">
      <c r="A169" s="2" t="s">
        <v>27</v>
      </c>
      <c r="B169" s="2" t="s">
        <v>16</v>
      </c>
    </row>
    <row r="170" spans="1:2" x14ac:dyDescent="0.2">
      <c r="A170" s="2" t="s">
        <v>13</v>
      </c>
      <c r="B170" s="2" t="s">
        <v>22</v>
      </c>
    </row>
    <row r="171" spans="1:2" x14ac:dyDescent="0.2">
      <c r="A171" s="2" t="s">
        <v>25</v>
      </c>
      <c r="B171" s="2" t="s">
        <v>12</v>
      </c>
    </row>
    <row r="172" spans="1:2" x14ac:dyDescent="0.2">
      <c r="A172" s="2" t="s">
        <v>27</v>
      </c>
      <c r="B172" s="2" t="s">
        <v>16</v>
      </c>
    </row>
    <row r="173" spans="1:2" x14ac:dyDescent="0.2">
      <c r="A173" s="2" t="s">
        <v>25</v>
      </c>
      <c r="B173" s="2" t="s">
        <v>12</v>
      </c>
    </row>
    <row r="174" spans="1:2" x14ac:dyDescent="0.2">
      <c r="A174" s="2" t="s">
        <v>20</v>
      </c>
      <c r="B174" s="2" t="s">
        <v>16</v>
      </c>
    </row>
    <row r="175" spans="1:2" x14ac:dyDescent="0.2">
      <c r="A175" s="2" t="s">
        <v>29</v>
      </c>
      <c r="B175" s="2" t="s">
        <v>22</v>
      </c>
    </row>
    <row r="176" spans="1:2" x14ac:dyDescent="0.2">
      <c r="A176" s="2" t="s">
        <v>15</v>
      </c>
      <c r="B176" s="2" t="s">
        <v>16</v>
      </c>
    </row>
    <row r="177" spans="1:2" x14ac:dyDescent="0.2">
      <c r="A177" s="2" t="s">
        <v>27</v>
      </c>
      <c r="B177" s="2" t="s">
        <v>16</v>
      </c>
    </row>
    <row r="178" spans="1:2" x14ac:dyDescent="0.2">
      <c r="A178" s="2" t="s">
        <v>13</v>
      </c>
      <c r="B178" s="2" t="s">
        <v>22</v>
      </c>
    </row>
    <row r="179" spans="1:2" x14ac:dyDescent="0.2">
      <c r="A179" s="2" t="s">
        <v>7</v>
      </c>
      <c r="B179" s="2" t="s">
        <v>17</v>
      </c>
    </row>
    <row r="180" spans="1:2" x14ac:dyDescent="0.2">
      <c r="A180" s="2" t="s">
        <v>31</v>
      </c>
      <c r="B180" s="2" t="s">
        <v>10</v>
      </c>
    </row>
    <row r="181" spans="1:2" x14ac:dyDescent="0.2">
      <c r="A181" s="2" t="s">
        <v>13</v>
      </c>
      <c r="B181" s="2" t="s">
        <v>22</v>
      </c>
    </row>
    <row r="182" spans="1:2" x14ac:dyDescent="0.2">
      <c r="A182" s="2" t="s">
        <v>29</v>
      </c>
      <c r="B182" s="2" t="s">
        <v>21</v>
      </c>
    </row>
    <row r="183" spans="1:2" x14ac:dyDescent="0.2">
      <c r="A183" s="2" t="s">
        <v>20</v>
      </c>
      <c r="B183" s="2" t="s">
        <v>16</v>
      </c>
    </row>
    <row r="184" spans="1:2" x14ac:dyDescent="0.2">
      <c r="A184" s="2" t="s">
        <v>27</v>
      </c>
      <c r="B184" s="2" t="s">
        <v>23</v>
      </c>
    </row>
    <row r="185" spans="1:2" x14ac:dyDescent="0.2">
      <c r="A185" s="2" t="s">
        <v>27</v>
      </c>
      <c r="B185" s="2" t="s">
        <v>23</v>
      </c>
    </row>
    <row r="186" spans="1:2" x14ac:dyDescent="0.2">
      <c r="A186" s="2" t="s">
        <v>27</v>
      </c>
      <c r="B186" s="2" t="s">
        <v>23</v>
      </c>
    </row>
    <row r="187" spans="1:2" x14ac:dyDescent="0.2">
      <c r="A187" s="2" t="s">
        <v>27</v>
      </c>
      <c r="B187" s="2" t="s">
        <v>16</v>
      </c>
    </row>
    <row r="188" spans="1:2" x14ac:dyDescent="0.2">
      <c r="A188" s="2" t="s">
        <v>29</v>
      </c>
      <c r="B188" s="2" t="s">
        <v>22</v>
      </c>
    </row>
    <row r="189" spans="1:2" x14ac:dyDescent="0.2">
      <c r="A189" s="2" t="s">
        <v>13</v>
      </c>
      <c r="B189" s="2" t="s">
        <v>22</v>
      </c>
    </row>
    <row r="190" spans="1:2" x14ac:dyDescent="0.2">
      <c r="A190" s="2" t="s">
        <v>29</v>
      </c>
      <c r="B190" s="2" t="s">
        <v>22</v>
      </c>
    </row>
    <row r="191" spans="1:2" x14ac:dyDescent="0.2">
      <c r="A191" s="2" t="s">
        <v>7</v>
      </c>
      <c r="B191" s="2" t="s">
        <v>17</v>
      </c>
    </row>
    <row r="192" spans="1:2" x14ac:dyDescent="0.2">
      <c r="A192" s="2" t="s">
        <v>29</v>
      </c>
      <c r="B192" s="2" t="s">
        <v>22</v>
      </c>
    </row>
    <row r="193" spans="1:2" x14ac:dyDescent="0.2">
      <c r="A193" s="2" t="s">
        <v>27</v>
      </c>
      <c r="B193" s="2" t="s">
        <v>16</v>
      </c>
    </row>
    <row r="194" spans="1:2" x14ac:dyDescent="0.2">
      <c r="A194" s="2" t="s">
        <v>29</v>
      </c>
      <c r="B194" s="2" t="s">
        <v>22</v>
      </c>
    </row>
    <row r="195" spans="1:2" x14ac:dyDescent="0.2">
      <c r="A195" s="2" t="s">
        <v>25</v>
      </c>
      <c r="B195" s="2" t="s">
        <v>12</v>
      </c>
    </row>
    <row r="196" spans="1:2" x14ac:dyDescent="0.2">
      <c r="A196" s="2" t="s">
        <v>13</v>
      </c>
      <c r="B196" s="2" t="s">
        <v>22</v>
      </c>
    </row>
    <row r="197" spans="1:2" x14ac:dyDescent="0.2">
      <c r="A197" s="2" t="s">
        <v>31</v>
      </c>
      <c r="B197" s="2" t="s">
        <v>10</v>
      </c>
    </row>
    <row r="198" spans="1:2" x14ac:dyDescent="0.2">
      <c r="A198" s="2" t="s">
        <v>32</v>
      </c>
      <c r="B198" s="2" t="s">
        <v>10</v>
      </c>
    </row>
    <row r="199" spans="1:2" x14ac:dyDescent="0.2">
      <c r="A199" s="2" t="s">
        <v>10</v>
      </c>
      <c r="B199" s="2" t="s">
        <v>24</v>
      </c>
    </row>
    <row r="200" spans="1:2" x14ac:dyDescent="0.2">
      <c r="A200" s="2" t="s">
        <v>10</v>
      </c>
      <c r="B200" s="2" t="s">
        <v>24</v>
      </c>
    </row>
    <row r="201" spans="1:2" x14ac:dyDescent="0.2">
      <c r="A201" s="2" t="s">
        <v>16</v>
      </c>
      <c r="B201" s="2" t="s">
        <v>23</v>
      </c>
    </row>
    <row r="202" spans="1:2" x14ac:dyDescent="0.2">
      <c r="A202" s="2" t="s">
        <v>20</v>
      </c>
      <c r="B202" s="2" t="s">
        <v>16</v>
      </c>
    </row>
    <row r="203" spans="1:2" x14ac:dyDescent="0.2">
      <c r="A203" s="2" t="s">
        <v>29</v>
      </c>
      <c r="B203" s="2" t="s">
        <v>22</v>
      </c>
    </row>
    <row r="204" spans="1:2" x14ac:dyDescent="0.2">
      <c r="A204" s="2" t="s">
        <v>29</v>
      </c>
      <c r="B204" s="2" t="s">
        <v>22</v>
      </c>
    </row>
    <row r="205" spans="1:2" x14ac:dyDescent="0.2">
      <c r="A205" s="2" t="s">
        <v>32</v>
      </c>
      <c r="B205" s="2" t="s">
        <v>10</v>
      </c>
    </row>
    <row r="206" spans="1:2" x14ac:dyDescent="0.2">
      <c r="A206" s="2" t="s">
        <v>35</v>
      </c>
      <c r="B206" s="2" t="s">
        <v>17</v>
      </c>
    </row>
    <row r="207" spans="1:2" x14ac:dyDescent="0.2">
      <c r="A207" s="2" t="s">
        <v>27</v>
      </c>
      <c r="B207" s="2" t="s">
        <v>16</v>
      </c>
    </row>
    <row r="208" spans="1:2" x14ac:dyDescent="0.2">
      <c r="A208" s="2" t="s">
        <v>16</v>
      </c>
      <c r="B208" s="2" t="s">
        <v>23</v>
      </c>
    </row>
    <row r="209" spans="1:2" x14ac:dyDescent="0.2">
      <c r="A209" s="2" t="s">
        <v>10</v>
      </c>
      <c r="B209" s="2" t="s">
        <v>24</v>
      </c>
    </row>
    <row r="210" spans="1:2" x14ac:dyDescent="0.2">
      <c r="A210" s="2" t="s">
        <v>32</v>
      </c>
      <c r="B210" s="2" t="s">
        <v>10</v>
      </c>
    </row>
    <row r="211" spans="1:2" x14ac:dyDescent="0.2">
      <c r="A211" s="2" t="s">
        <v>35</v>
      </c>
      <c r="B211" s="2" t="s">
        <v>17</v>
      </c>
    </row>
    <row r="212" spans="1:2" x14ac:dyDescent="0.2">
      <c r="A212" s="2" t="s">
        <v>10</v>
      </c>
      <c r="B212" s="2" t="s">
        <v>24</v>
      </c>
    </row>
    <row r="213" spans="1:2" x14ac:dyDescent="0.2">
      <c r="A213" s="2" t="s">
        <v>10</v>
      </c>
      <c r="B213" s="2" t="s">
        <v>24</v>
      </c>
    </row>
    <row r="214" spans="1:2" x14ac:dyDescent="0.2">
      <c r="A214" s="2" t="s">
        <v>10</v>
      </c>
      <c r="B214" s="2" t="s">
        <v>24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tabSelected="1" workbookViewId="0">
      <selection activeCell="E13" sqref="E13"/>
    </sheetView>
  </sheetViews>
  <sheetFormatPr baseColWidth="10" defaultRowHeight="12.75" x14ac:dyDescent="0.2"/>
  <cols>
    <col min="1" max="1" width="21" customWidth="1"/>
  </cols>
  <sheetData>
    <row r="1" spans="1:1" x14ac:dyDescent="0.2">
      <c r="A1" s="23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params</vt:lpstr>
      <vt:lpstr>FFT</vt:lpstr>
      <vt:lpstr>Temp</vt:lpstr>
      <vt:lpstr>projet</vt:lpstr>
      <vt:lpstr>FFT!Impression_des_titres</vt:lpstr>
    </vt:vector>
  </TitlesOfParts>
  <Company>GENERALI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iprak</dc:creator>
  <cp:lastModifiedBy>jose reyes</cp:lastModifiedBy>
  <cp:lastPrinted>2014-02-20T15:11:23Z</cp:lastPrinted>
  <dcterms:created xsi:type="dcterms:W3CDTF">2005-09-15T11:59:40Z</dcterms:created>
  <dcterms:modified xsi:type="dcterms:W3CDTF">2014-02-27T16:44:27Z</dcterms:modified>
</cp:coreProperties>
</file>